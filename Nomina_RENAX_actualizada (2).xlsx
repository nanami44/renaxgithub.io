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Datos iniciales" sheetId="1" state="visible" r:id="rId1"/>
    <sheet xmlns:r="http://schemas.openxmlformats.org/officeDocument/2006/relationships" name="Liquidador de nómina" sheetId="2" state="visible" r:id="rId2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\ &quot;$&quot;"/>
    <numFmt numFmtId="165" formatCode="&quot;$&quot;\ #,##0"/>
    <numFmt numFmtId="166" formatCode="_-[$$-240A]\ * #,##0.00_-;\-[$$-240A]\ * #,##0.00_-;_-[$$-240A]\ * &quot;-&quot;??_-;_-@_-"/>
    <numFmt numFmtId="167" formatCode="_-[$$-240A]\ * #,##0_-;\-[$$-240A]\ * #,##0_-;_-[$$-240A]\ * &quot;-&quot;??_-;_-@_-"/>
    <numFmt numFmtId="168" formatCode="0.0%"/>
    <numFmt numFmtId="169" formatCode="_-&quot;$&quot;\ * #,##0_-;\-&quot;$&quot;\ * #,##0_-;_-&quot;$&quot;\ * &quot;-&quot;_-;_-@_-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theme="1"/>
      <sz val="16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9" tint="-0.249977111117893"/>
      <sz val="20"/>
      <scheme val="minor"/>
    </font>
    <font>
      <name val="Arial"/>
      <family val="2"/>
      <color theme="9" tint="-0.249977111117893"/>
      <sz val="20"/>
    </font>
    <font>
      <name val="Calibri"/>
      <family val="2"/>
      <b val="1"/>
      <i val="1"/>
      <color theme="1"/>
      <sz val="18"/>
      <scheme val="minor"/>
    </font>
    <font>
      <name val="Arial"/>
      <family val="2"/>
      <b val="1"/>
      <color theme="0"/>
      <sz val="9"/>
    </font>
    <font>
      <name val="Arial"/>
      <family val="2"/>
      <b val="1"/>
      <color theme="0"/>
      <sz val="12"/>
    </font>
    <font>
      <name val="Calibri"/>
      <family val="2"/>
      <b val="1"/>
      <color theme="0"/>
      <sz val="12"/>
      <scheme val="minor"/>
    </font>
    <font>
      <name val="Arial"/>
      <family val="2"/>
      <b val="1"/>
      <color rgb="FF00B050"/>
      <sz val="20"/>
    </font>
    <font>
      <name val="Arial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8036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9" fontId="1" fillId="0" borderId="0"/>
    <xf numFmtId="42" fontId="1" fillId="0" borderId="0"/>
  </cellStyleXfs>
  <cellXfs count="137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8" fillId="2" borderId="6" applyAlignment="1" applyProtection="1" pivotButton="0" quotePrefix="0" xfId="0">
      <alignment horizontal="right" vertical="center" shrinkToFit="1"/>
      <protection locked="0" hidden="0"/>
    </xf>
    <xf numFmtId="1" fontId="8" fillId="2" borderId="35" applyAlignment="1" applyProtection="1" pivotButton="0" quotePrefix="0" xfId="0">
      <alignment horizontal="right" vertical="center" shrinkToFit="1"/>
      <protection locked="0" hidden="0"/>
    </xf>
    <xf numFmtId="164" fontId="8" fillId="2" borderId="37" applyAlignment="1" applyProtection="1" pivotButton="0" quotePrefix="0" xfId="0">
      <alignment horizontal="right" vertical="center" shrinkToFit="1"/>
      <protection locked="0" hidden="0"/>
    </xf>
    <xf numFmtId="165" fontId="6" fillId="2" borderId="37" applyAlignment="1" applyProtection="1" pivotButton="0" quotePrefix="0" xfId="0">
      <alignment horizontal="right" vertical="center" shrinkToFit="1"/>
      <protection locked="0" hidden="0"/>
    </xf>
    <xf numFmtId="1" fontId="8" fillId="4" borderId="33" applyAlignment="1" applyProtection="1" pivotButton="0" quotePrefix="0" xfId="0">
      <alignment horizontal="right" vertical="center" shrinkToFit="1"/>
      <protection locked="0" hidden="0"/>
    </xf>
    <xf numFmtId="164" fontId="8" fillId="4" borderId="9" applyAlignment="1" applyProtection="1" pivotButton="0" quotePrefix="0" xfId="0">
      <alignment horizontal="right" vertical="center" shrinkToFit="1"/>
      <protection locked="0" hidden="0"/>
    </xf>
    <xf numFmtId="164" fontId="8" fillId="4" borderId="37" applyAlignment="1" applyProtection="1" pivotButton="0" quotePrefix="0" xfId="0">
      <alignment horizontal="right" vertical="center" shrinkToFit="1"/>
      <protection locked="0" hidden="0"/>
    </xf>
    <xf numFmtId="164" fontId="8" fillId="4" borderId="8" applyAlignment="1" applyProtection="1" pivotButton="0" quotePrefix="0" xfId="0">
      <alignment horizontal="right" vertical="center" shrinkToFit="1"/>
      <protection locked="0" hidden="0"/>
    </xf>
    <xf numFmtId="165" fontId="6" fillId="4" borderId="14" applyAlignment="1" applyProtection="1" pivotButton="0" quotePrefix="0" xfId="0">
      <alignment horizontal="right" vertical="center" shrinkToFit="1"/>
      <protection locked="0" hidden="0"/>
    </xf>
    <xf numFmtId="1" fontId="8" fillId="2" borderId="33" applyAlignment="1" applyProtection="1" pivotButton="0" quotePrefix="0" xfId="0">
      <alignment horizontal="right" vertical="center" shrinkToFit="1"/>
      <protection locked="0" hidden="0"/>
    </xf>
    <xf numFmtId="164" fontId="8" fillId="2" borderId="9" applyAlignment="1" applyProtection="1" pivotButton="0" quotePrefix="0" xfId="0">
      <alignment horizontal="right" vertical="center" shrinkToFit="1"/>
      <protection locked="0" hidden="0"/>
    </xf>
    <xf numFmtId="164" fontId="8" fillId="2" borderId="8" applyAlignment="1" applyProtection="1" pivotButton="0" quotePrefix="0" xfId="0">
      <alignment horizontal="right" vertical="center" shrinkToFit="1"/>
      <protection locked="0" hidden="0"/>
    </xf>
    <xf numFmtId="165" fontId="6" fillId="2" borderId="14" applyAlignment="1" applyProtection="1" pivotButton="0" quotePrefix="0" xfId="0">
      <alignment horizontal="right" vertical="center" shrinkToFit="1"/>
      <protection locked="0" hidden="0"/>
    </xf>
    <xf numFmtId="0" fontId="9" fillId="5" borderId="15" applyAlignment="1" applyProtection="1" pivotButton="0" quotePrefix="0" xfId="0">
      <alignment horizontal="center" vertical="center" shrinkToFit="1"/>
      <protection locked="0" hidden="0"/>
    </xf>
    <xf numFmtId="1" fontId="9" fillId="5" borderId="38" applyAlignment="1" applyProtection="1" pivotButton="0" quotePrefix="0" xfId="0">
      <alignment horizontal="right" vertical="center" shrinkToFit="1"/>
      <protection locked="0" hidden="0"/>
    </xf>
    <xf numFmtId="165" fontId="9" fillId="5" borderId="17" applyAlignment="1" applyProtection="1" pivotButton="0" quotePrefix="0" xfId="0">
      <alignment horizontal="right" vertical="center" shrinkToFit="1"/>
      <protection locked="0" hidden="0"/>
    </xf>
    <xf numFmtId="165" fontId="9" fillId="5" borderId="18" applyAlignment="1" applyProtection="1" pivotButton="0" quotePrefix="0" xfId="0">
      <alignment horizontal="right" vertical="center" shrinkToFit="1"/>
      <protection locked="0" hidden="0"/>
    </xf>
    <xf numFmtId="165" fontId="7" fillId="2" borderId="18" applyAlignment="1" applyProtection="1" pivotButton="0" quotePrefix="0" xfId="0">
      <alignment horizontal="right" vertical="center" shrinkToFit="1"/>
      <protection locked="0" hidden="0"/>
    </xf>
    <xf numFmtId="0" fontId="0" fillId="0" borderId="0" pivotButton="0" quotePrefix="0" xfId="0"/>
    <xf numFmtId="0" fontId="4" fillId="0" borderId="0" applyProtection="1" pivotButton="0" quotePrefix="0" xfId="0">
      <protection locked="0" hidden="0"/>
    </xf>
    <xf numFmtId="166" fontId="0" fillId="0" borderId="9" applyProtection="1" pivotButton="0" quotePrefix="0" xfId="1">
      <protection locked="0" hidden="0"/>
    </xf>
    <xf numFmtId="0" fontId="12" fillId="0" borderId="0" pivotButton="0" quotePrefix="0" xfId="0"/>
    <xf numFmtId="0" fontId="11" fillId="0" borderId="0" pivotButton="0" quotePrefix="0" xfId="0"/>
    <xf numFmtId="0" fontId="0" fillId="0" borderId="3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4" fontId="8" fillId="4" borderId="12" applyAlignment="1" applyProtection="1" pivotButton="0" quotePrefix="0" xfId="0">
      <alignment horizontal="right" vertical="center" shrinkToFit="1"/>
      <protection locked="0" hidden="0"/>
    </xf>
    <xf numFmtId="164" fontId="8" fillId="4" borderId="13" applyAlignment="1" applyProtection="1" pivotButton="0" quotePrefix="0" xfId="0">
      <alignment horizontal="right" vertical="center" shrinkToFit="1"/>
      <protection locked="0" hidden="0"/>
    </xf>
    <xf numFmtId="0" fontId="14" fillId="6" borderId="34" applyAlignment="1" applyProtection="1" pivotButton="0" quotePrefix="0" xfId="0">
      <alignment horizontal="center" vertical="center"/>
      <protection locked="0" hidden="0"/>
    </xf>
    <xf numFmtId="0" fontId="14" fillId="6" borderId="6" applyAlignment="1" applyProtection="1" pivotButton="0" quotePrefix="0" xfId="0">
      <alignment horizontal="center" vertical="center"/>
      <protection locked="0" hidden="0"/>
    </xf>
    <xf numFmtId="0" fontId="14" fillId="6" borderId="6" applyAlignment="1" applyProtection="1" pivotButton="0" quotePrefix="0" xfId="0">
      <alignment horizontal="center" vertical="center" wrapText="1"/>
      <protection locked="0" hidden="0"/>
    </xf>
    <xf numFmtId="0" fontId="15" fillId="6" borderId="35" applyProtection="1" pivotButton="0" quotePrefix="0" xfId="0">
      <protection locked="0" hidden="0"/>
    </xf>
    <xf numFmtId="167" fontId="0" fillId="0" borderId="9" applyProtection="1" pivotButton="0" quotePrefix="0" xfId="1">
      <protection locked="0" hidden="0"/>
    </xf>
    <xf numFmtId="0" fontId="13" fillId="6" borderId="19" applyAlignment="1" applyProtection="1" pivotButton="0" quotePrefix="0" xfId="0">
      <alignment horizontal="center" vertical="center"/>
      <protection locked="0" hidden="0"/>
    </xf>
    <xf numFmtId="0" fontId="13" fillId="6" borderId="43" applyAlignment="1" applyProtection="1" pivotButton="0" quotePrefix="0" xfId="0">
      <alignment horizontal="center" vertical="center" wrapText="1"/>
      <protection locked="0" hidden="0"/>
    </xf>
    <xf numFmtId="0" fontId="13" fillId="6" borderId="20" applyAlignment="1" applyProtection="1" pivotButton="0" quotePrefix="0" xfId="0">
      <alignment horizontal="center" vertical="center"/>
      <protection locked="0" hidden="0"/>
    </xf>
    <xf numFmtId="0" fontId="13" fillId="6" borderId="22" applyAlignment="1" applyProtection="1" pivotButton="0" quotePrefix="0" xfId="0">
      <alignment horizontal="center" vertical="center" wrapText="1"/>
      <protection locked="0" hidden="0"/>
    </xf>
    <xf numFmtId="0" fontId="13" fillId="6" borderId="21" applyAlignment="1" applyProtection="1" pivotButton="0" quotePrefix="0" xfId="0">
      <alignment horizontal="center" vertical="center" wrapText="1"/>
      <protection locked="0" hidden="0"/>
    </xf>
    <xf numFmtId="0" fontId="14" fillId="6" borderId="3" applyAlignment="1" applyProtection="1" pivotButton="0" quotePrefix="0" xfId="0">
      <alignment horizontal="center" vertical="center" wrapText="1"/>
      <protection locked="0" hidden="0"/>
    </xf>
    <xf numFmtId="0" fontId="11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6" fillId="2" borderId="0" applyProtection="1" pivotButton="0" quotePrefix="0" xfId="0">
      <protection locked="0" hidden="0"/>
    </xf>
    <xf numFmtId="0" fontId="7" fillId="2" borderId="0" applyProtection="1" pivotButton="0" quotePrefix="0" xfId="0">
      <protection locked="0" hidden="0"/>
    </xf>
    <xf numFmtId="0" fontId="14" fillId="6" borderId="19" applyAlignment="1" applyProtection="1" pivotButton="0" quotePrefix="0" xfId="0">
      <alignment vertical="center" wrapText="1"/>
      <protection locked="0" hidden="0"/>
    </xf>
    <xf numFmtId="164" fontId="8" fillId="2" borderId="36" applyAlignment="1" applyProtection="1" pivotButton="0" quotePrefix="0" xfId="0">
      <alignment horizontal="right" vertical="center" shrinkToFit="1"/>
      <protection locked="0" hidden="0"/>
    </xf>
    <xf numFmtId="164" fontId="8" fillId="2" borderId="34" applyAlignment="1" applyProtection="1" pivotButton="0" quotePrefix="0" xfId="0">
      <alignment horizontal="right" vertical="center" shrinkToFit="1"/>
      <protection locked="0" hidden="0"/>
    </xf>
    <xf numFmtId="164" fontId="8" fillId="4" borderId="6" applyAlignment="1" applyProtection="1" pivotButton="0" quotePrefix="0" xfId="0">
      <alignment horizontal="right" vertical="center" shrinkToFit="1"/>
      <protection locked="0" hidden="0"/>
    </xf>
    <xf numFmtId="164" fontId="8" fillId="4" borderId="36" applyAlignment="1" applyProtection="1" pivotButton="0" quotePrefix="0" xfId="0">
      <alignment horizontal="right" vertical="center" shrinkToFit="1"/>
      <protection locked="0" hidden="0"/>
    </xf>
    <xf numFmtId="164" fontId="8" fillId="4" borderId="10" applyAlignment="1" applyProtection="1" pivotButton="0" quotePrefix="0" xfId="0">
      <alignment horizontal="right" vertical="center" shrinkToFit="1"/>
      <protection locked="0" hidden="0"/>
    </xf>
    <xf numFmtId="164" fontId="8" fillId="2" borderId="10" applyAlignment="1" applyProtection="1" pivotButton="0" quotePrefix="0" xfId="0">
      <alignment horizontal="right" vertical="center" shrinkToFit="1"/>
      <protection locked="0" hidden="0"/>
    </xf>
    <xf numFmtId="165" fontId="9" fillId="5" borderId="15" applyAlignment="1" applyProtection="1" pivotButton="0" quotePrefix="0" xfId="0">
      <alignment horizontal="right" vertical="center" shrinkToFit="1"/>
      <protection locked="0" hidden="0"/>
    </xf>
    <xf numFmtId="165" fontId="9" fillId="5" borderId="16" applyAlignment="1" applyProtection="1" pivotButton="0" quotePrefix="0" xfId="0">
      <alignment horizontal="right" vertical="center" shrinkToFit="1"/>
      <protection locked="0" hidden="0"/>
    </xf>
    <xf numFmtId="0" fontId="10" fillId="0" borderId="0" applyProtection="1" pivotButton="0" quotePrefix="0" xfId="0">
      <protection locked="0" hidden="0"/>
    </xf>
    <xf numFmtId="0" fontId="2" fillId="6" borderId="32" applyAlignment="1" applyProtection="1" pivotButton="0" quotePrefix="0" xfId="0">
      <alignment horizontal="center"/>
      <protection locked="0" hidden="0"/>
    </xf>
    <xf numFmtId="0" fontId="2" fillId="6" borderId="29" applyAlignment="1" applyProtection="1" pivotButton="0" quotePrefix="0" xfId="0">
      <alignment horizontal="center"/>
      <protection locked="0" hidden="0"/>
    </xf>
    <xf numFmtId="0" fontId="2" fillId="6" borderId="28" applyAlignment="1" applyProtection="1" pivotButton="0" quotePrefix="0" xfId="0">
      <alignment horizontal="center"/>
      <protection locked="0" hidden="0"/>
    </xf>
    <xf numFmtId="168" fontId="2" fillId="6" borderId="25" applyAlignment="1" applyProtection="1" pivotButton="0" quotePrefix="0" xfId="1">
      <alignment horizontal="center"/>
      <protection locked="0" hidden="0"/>
    </xf>
    <xf numFmtId="9" fontId="2" fillId="6" borderId="27" applyAlignment="1" applyProtection="1" pivotButton="0" quotePrefix="0" xfId="1">
      <alignment horizontal="center"/>
      <protection locked="0" hidden="0"/>
    </xf>
    <xf numFmtId="9" fontId="2" fillId="6" borderId="25" applyAlignment="1" applyProtection="1" pivotButton="0" quotePrefix="0" xfId="1">
      <alignment horizontal="center"/>
      <protection locked="0" hidden="0"/>
    </xf>
    <xf numFmtId="9" fontId="2" fillId="6" borderId="26" applyAlignment="1" applyProtection="1" pivotButton="0" quotePrefix="0" xfId="1">
      <alignment horizontal="center"/>
      <protection locked="0" hidden="0"/>
    </xf>
    <xf numFmtId="10" fontId="2" fillId="6" borderId="25" applyAlignment="1" applyProtection="1" pivotButton="0" quotePrefix="0" xfId="1">
      <alignment horizontal="center"/>
      <protection locked="0" hidden="0"/>
    </xf>
    <xf numFmtId="10" fontId="2" fillId="6" borderId="41" applyAlignment="1" applyProtection="1" pivotButton="0" quotePrefix="0" xfId="1">
      <alignment horizontal="center"/>
      <protection locked="0" hidden="0"/>
    </xf>
    <xf numFmtId="9" fontId="2" fillId="6" borderId="41" applyAlignment="1" applyProtection="1" pivotButton="0" quotePrefix="0" xfId="1">
      <alignment horizontal="center"/>
      <protection locked="0" hidden="0"/>
    </xf>
    <xf numFmtId="10" fontId="2" fillId="6" borderId="40" applyAlignment="1" applyProtection="1" pivotButton="0" quotePrefix="0" xfId="1">
      <alignment horizontal="center"/>
      <protection locked="0" hidden="0"/>
    </xf>
    <xf numFmtId="0" fontId="8" fillId="2" borderId="30" applyAlignment="1" applyProtection="1" pivotButton="0" quotePrefix="0" xfId="0">
      <alignment vertical="center" shrinkToFit="1"/>
      <protection locked="0" hidden="0"/>
    </xf>
    <xf numFmtId="167" fontId="0" fillId="0" borderId="7" applyProtection="1" pivotButton="0" quotePrefix="0" xfId="0">
      <protection locked="0" hidden="0"/>
    </xf>
    <xf numFmtId="167" fontId="0" fillId="0" borderId="37" applyProtection="1" pivotButton="0" quotePrefix="0" xfId="0">
      <protection locked="0" hidden="0"/>
    </xf>
    <xf numFmtId="167" fontId="0" fillId="0" borderId="36" applyProtection="1" pivotButton="0" quotePrefix="0" xfId="0">
      <protection locked="0" hidden="0"/>
    </xf>
    <xf numFmtId="167" fontId="0" fillId="0" borderId="6" applyProtection="1" pivotButton="0" quotePrefix="0" xfId="0">
      <protection locked="0" hidden="0"/>
    </xf>
    <xf numFmtId="0" fontId="8" fillId="4" borderId="30" applyAlignment="1" applyProtection="1" pivotButton="0" quotePrefix="0" xfId="0">
      <alignment vertical="center" shrinkToFit="1"/>
      <protection locked="0" hidden="0"/>
    </xf>
    <xf numFmtId="167" fontId="0" fillId="4" borderId="7" applyProtection="1" pivotButton="0" quotePrefix="0" xfId="0">
      <protection locked="0" hidden="0"/>
    </xf>
    <xf numFmtId="167" fontId="0" fillId="4" borderId="37" applyProtection="1" pivotButton="0" quotePrefix="0" xfId="0">
      <protection locked="0" hidden="0"/>
    </xf>
    <xf numFmtId="167" fontId="0" fillId="4" borderId="36" applyProtection="1" pivotButton="0" quotePrefix="0" xfId="0">
      <protection locked="0" hidden="0"/>
    </xf>
    <xf numFmtId="167" fontId="0" fillId="4" borderId="6" applyProtection="1" pivotButton="0" quotePrefix="0" xfId="0">
      <protection locked="0" hidden="0"/>
    </xf>
    <xf numFmtId="167" fontId="0" fillId="4" borderId="9" applyProtection="1" pivotButton="0" quotePrefix="0" xfId="0">
      <protection locked="0" hidden="0"/>
    </xf>
    <xf numFmtId="167" fontId="0" fillId="4" borderId="10" applyProtection="1" pivotButton="0" quotePrefix="0" xfId="0">
      <protection locked="0" hidden="0"/>
    </xf>
    <xf numFmtId="167" fontId="0" fillId="0" borderId="9" applyProtection="1" pivotButton="0" quotePrefix="0" xfId="0">
      <protection locked="0" hidden="0"/>
    </xf>
    <xf numFmtId="167" fontId="0" fillId="0" borderId="10" applyProtection="1" pivotButton="0" quotePrefix="0" xfId="0">
      <protection locked="0" hidden="0"/>
    </xf>
    <xf numFmtId="0" fontId="8" fillId="2" borderId="31" applyAlignment="1" applyProtection="1" pivotButton="0" quotePrefix="0" xfId="0">
      <alignment vertical="center" shrinkToFit="1"/>
      <protection locked="0" hidden="0"/>
    </xf>
    <xf numFmtId="167" fontId="0" fillId="0" borderId="11" applyProtection="1" pivotButton="0" quotePrefix="0" xfId="0">
      <protection locked="0" hidden="0"/>
    </xf>
    <xf numFmtId="167" fontId="0" fillId="0" borderId="24" applyProtection="1" pivotButton="0" quotePrefix="0" xfId="0">
      <protection locked="0" hidden="0"/>
    </xf>
    <xf numFmtId="167" fontId="0" fillId="0" borderId="23" applyProtection="1" pivotButton="0" quotePrefix="0" xfId="0">
      <protection locked="0" hidden="0"/>
    </xf>
    <xf numFmtId="167" fontId="0" fillId="0" borderId="5" applyProtection="1" pivotButton="0" quotePrefix="0" xfId="0">
      <protection locked="0" hidden="0"/>
    </xf>
    <xf numFmtId="167" fontId="0" fillId="0" borderId="13" applyProtection="1" pivotButton="0" quotePrefix="0" xfId="0">
      <protection locked="0" hidden="0"/>
    </xf>
    <xf numFmtId="167" fontId="0" fillId="0" borderId="14" applyProtection="1" pivotButton="0" quotePrefix="0" xfId="0">
      <protection locked="0" hidden="0"/>
    </xf>
    <xf numFmtId="0" fontId="9" fillId="5" borderId="31" applyAlignment="1" applyProtection="1" pivotButton="0" quotePrefix="0" xfId="0">
      <alignment horizontal="center" vertical="center" shrinkToFit="1"/>
      <protection locked="0" hidden="0"/>
    </xf>
    <xf numFmtId="166" fontId="3" fillId="5" borderId="9" applyProtection="1" pivotButton="0" quotePrefix="0" xfId="0">
      <protection locked="0" hidden="0"/>
    </xf>
    <xf numFmtId="169" fontId="0" fillId="0" borderId="0" applyProtection="1" pivotButton="0" quotePrefix="0" xfId="2">
      <protection locked="0" hidden="0"/>
    </xf>
    <xf numFmtId="167" fontId="0" fillId="0" borderId="0" applyProtection="1" pivotButton="0" quotePrefix="0" xfId="0">
      <protection locked="0" hidden="0"/>
    </xf>
    <xf numFmtId="0" fontId="17" fillId="0" borderId="0" applyAlignment="1" pivotButton="0" quotePrefix="0" xfId="0">
      <alignment horizontal="justify" vertical="center"/>
    </xf>
    <xf numFmtId="0" fontId="3" fillId="0" borderId="1" applyAlignment="1" applyProtection="1" pivotButton="0" quotePrefix="0" xfId="0">
      <alignment horizontal="center"/>
      <protection locked="0" hidden="0"/>
    </xf>
    <xf numFmtId="0" fontId="3" fillId="0" borderId="2" applyAlignment="1" applyProtection="1" pivotButton="0" quotePrefix="0" xfId="0">
      <alignment horizontal="center"/>
      <protection locked="0" hidden="0"/>
    </xf>
    <xf numFmtId="0" fontId="3" fillId="0" borderId="3" applyAlignment="1" applyProtection="1" pivotButton="0" quotePrefix="0" xfId="0">
      <alignment horizontal="center"/>
      <protection locked="0" hidden="0"/>
    </xf>
    <xf numFmtId="0" fontId="3" fillId="0" borderId="9" applyAlignment="1" applyProtection="1" pivotButton="0" quotePrefix="0" xfId="0">
      <alignment horizontal="left"/>
      <protection locked="0" hidden="0"/>
    </xf>
    <xf numFmtId="0" fontId="13" fillId="6" borderId="4" applyAlignment="1" applyProtection="1" pivotButton="0" quotePrefix="0" xfId="0">
      <alignment horizontal="center" vertical="center"/>
      <protection locked="0" hidden="0"/>
    </xf>
    <xf numFmtId="0" fontId="13" fillId="6" borderId="42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/>
      <protection locked="0" hidden="0"/>
    </xf>
    <xf numFmtId="0" fontId="7" fillId="4" borderId="2" applyAlignment="1" applyProtection="1" pivotButton="0" quotePrefix="0" xfId="0">
      <alignment horizontal="center"/>
      <protection locked="0" hidden="0"/>
    </xf>
    <xf numFmtId="0" fontId="7" fillId="4" borderId="3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5" fillId="0" borderId="39" applyAlignment="1" applyProtection="1" pivotButton="0" quotePrefix="0" xfId="0">
      <alignment horizontal="center"/>
      <protection locked="0" hidden="0"/>
    </xf>
    <xf numFmtId="0" fontId="3" fillId="3" borderId="20" applyAlignment="1" applyProtection="1" pivotButton="0" quotePrefix="0" xfId="0">
      <alignment horizontal="center"/>
      <protection locked="0" hidden="0"/>
    </xf>
    <xf numFmtId="0" fontId="3" fillId="3" borderId="22" applyAlignment="1" applyProtection="1" pivotButton="0" quotePrefix="0" xfId="0">
      <alignment horizontal="center"/>
      <protection locked="0" hidden="0"/>
    </xf>
    <xf numFmtId="0" fontId="3" fillId="3" borderId="21" applyAlignment="1" applyProtection="1" pivotButton="0" quotePrefix="0" xfId="0">
      <alignment horizontal="center"/>
      <protection locked="0" hidden="0"/>
    </xf>
    <xf numFmtId="3" fontId="0" fillId="0" borderId="0" pivotButton="0" quotePrefix="0" xfId="0"/>
    <xf numFmtId="0" fontId="3" fillId="0" borderId="19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7" fontId="0" fillId="0" borderId="9" applyProtection="1" pivotButton="0" quotePrefix="0" xfId="1">
      <protection locked="0" hidden="0"/>
    </xf>
    <xf numFmtId="0" fontId="0" fillId="0" borderId="8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7" fillId="4" borderId="19" applyAlignment="1" applyProtection="1" pivotButton="0" quotePrefix="0" xfId="0">
      <alignment horizontal="center"/>
      <protection locked="0" hidden="0"/>
    </xf>
    <xf numFmtId="0" fontId="0" fillId="0" borderId="52" applyProtection="1" pivotButton="0" quotePrefix="0" xfId="0">
      <protection locked="0" hidden="0"/>
    </xf>
    <xf numFmtId="0" fontId="13" fillId="6" borderId="48" applyAlignment="1" applyProtection="1" pivotButton="0" quotePrefix="0" xfId="0">
      <alignment horizontal="center" vertical="center"/>
      <protection locked="0" hidden="0"/>
    </xf>
    <xf numFmtId="0" fontId="0" fillId="0" borderId="42" applyProtection="1" pivotButton="0" quotePrefix="0" xfId="0">
      <protection locked="0" hidden="0"/>
    </xf>
    <xf numFmtId="168" fontId="2" fillId="6" borderId="25" applyAlignment="1" applyProtection="1" pivotButton="0" quotePrefix="0" xfId="1">
      <alignment horizontal="center"/>
      <protection locked="0" hidden="0"/>
    </xf>
    <xf numFmtId="167" fontId="0" fillId="0" borderId="7" applyProtection="1" pivotButton="0" quotePrefix="0" xfId="0">
      <protection locked="0" hidden="0"/>
    </xf>
    <xf numFmtId="167" fontId="0" fillId="0" borderId="37" applyProtection="1" pivotButton="0" quotePrefix="0" xfId="0">
      <protection locked="0" hidden="0"/>
    </xf>
    <xf numFmtId="167" fontId="0" fillId="0" borderId="36" applyProtection="1" pivotButton="0" quotePrefix="0" xfId="0">
      <protection locked="0" hidden="0"/>
    </xf>
    <xf numFmtId="167" fontId="0" fillId="0" borderId="6" applyProtection="1" pivotButton="0" quotePrefix="0" xfId="0">
      <protection locked="0" hidden="0"/>
    </xf>
    <xf numFmtId="167" fontId="0" fillId="4" borderId="7" applyProtection="1" pivotButton="0" quotePrefix="0" xfId="0">
      <protection locked="0" hidden="0"/>
    </xf>
    <xf numFmtId="167" fontId="0" fillId="4" borderId="37" applyProtection="1" pivotButton="0" quotePrefix="0" xfId="0">
      <protection locked="0" hidden="0"/>
    </xf>
    <xf numFmtId="167" fontId="0" fillId="4" borderId="36" applyProtection="1" pivotButton="0" quotePrefix="0" xfId="0">
      <protection locked="0" hidden="0"/>
    </xf>
    <xf numFmtId="167" fontId="0" fillId="4" borderId="6" applyProtection="1" pivotButton="0" quotePrefix="0" xfId="0">
      <protection locked="0" hidden="0"/>
    </xf>
    <xf numFmtId="167" fontId="0" fillId="4" borderId="9" applyProtection="1" pivotButton="0" quotePrefix="0" xfId="0">
      <protection locked="0" hidden="0"/>
    </xf>
    <xf numFmtId="167" fontId="0" fillId="4" borderId="10" applyProtection="1" pivotButton="0" quotePrefix="0" xfId="0">
      <protection locked="0" hidden="0"/>
    </xf>
    <xf numFmtId="167" fontId="0" fillId="0" borderId="9" applyProtection="1" pivotButton="0" quotePrefix="0" xfId="0">
      <protection locked="0" hidden="0"/>
    </xf>
    <xf numFmtId="167" fontId="0" fillId="0" borderId="10" applyProtection="1" pivotButton="0" quotePrefix="0" xfId="0">
      <protection locked="0" hidden="0"/>
    </xf>
    <xf numFmtId="167" fontId="0" fillId="0" borderId="11" applyProtection="1" pivotButton="0" quotePrefix="0" xfId="0">
      <protection locked="0" hidden="0"/>
    </xf>
    <xf numFmtId="167" fontId="0" fillId="0" borderId="24" applyProtection="1" pivotButton="0" quotePrefix="0" xfId="0">
      <protection locked="0" hidden="0"/>
    </xf>
    <xf numFmtId="167" fontId="0" fillId="0" borderId="23" applyProtection="1" pivotButton="0" quotePrefix="0" xfId="0">
      <protection locked="0" hidden="0"/>
    </xf>
    <xf numFmtId="167" fontId="0" fillId="0" borderId="5" applyProtection="1" pivotButton="0" quotePrefix="0" xfId="0">
      <protection locked="0" hidden="0"/>
    </xf>
    <xf numFmtId="167" fontId="0" fillId="0" borderId="13" applyProtection="1" pivotButton="0" quotePrefix="0" xfId="0">
      <protection locked="0" hidden="0"/>
    </xf>
    <xf numFmtId="167" fontId="0" fillId="0" borderId="14" applyProtection="1" pivotButton="0" quotePrefix="0" xfId="0">
      <protection locked="0" hidden="0"/>
    </xf>
    <xf numFmtId="169" fontId="0" fillId="0" borderId="0" applyProtection="1" pivotButton="0" quotePrefix="0" xfId="2">
      <protection locked="0" hidden="0"/>
    </xf>
  </cellXfs>
  <cellStyles count="3">
    <cellStyle name="Normal" xfId="0" builtinId="0"/>
    <cellStyle name="Porcentaje" xfId="1" builtinId="5"/>
    <cellStyle name="Moneda [0]" xfId="2" builtinId="7"/>
  </cellStyles>
  <dxfs count="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64" formatCode="#,##0\ &quot;$&quot;"/>
      <fill>
        <patternFill patternType="solid">
          <fgColor indexed="64"/>
          <bgColor theme="0"/>
        </patternFill>
      </fill>
      <alignment horizontal="right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64" formatCode="#,##0\ &quot;$&quot;"/>
      <fill>
        <patternFill patternType="solid">
          <fgColor indexed="64"/>
          <bgColor theme="0"/>
        </patternFill>
      </fill>
      <alignment horizontal="right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64" formatCode="#,##0\ &quot;$&quot;"/>
      <fill>
        <patternFill patternType="solid">
          <fgColor indexed="64"/>
          <bgColor theme="0"/>
        </patternFill>
      </fill>
      <alignment horizontal="right" vertical="center" shrinkToFi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color theme="0"/>
        <sz val="12"/>
        <vertAlign val="baseline"/>
      </font>
      <fill>
        <patternFill patternType="solid">
          <fgColor indexed="64"/>
          <bgColor rgb="FF008036"/>
        </patternFill>
      </fill>
      <protection locked="0" hidden="0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4</row>
      <rowOff>177800</rowOff>
    </from>
    <to>
      <col>8</col>
      <colOff>590550</colOff>
      <row>9</row>
      <rowOff>1411</rowOff>
    </to>
    <pic>
      <nvPicPr>
        <cNvPr id="4" name="Imagen 3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18300" y="1130300"/>
          <a:ext cx="2984500" cy="7443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749300</colOff>
      <row>12</row>
      <rowOff>165100</rowOff>
    </from>
    <to>
      <col>8</col>
      <colOff>590550</colOff>
      <row>20</row>
      <rowOff>92837</rowOff>
    </to>
    <pic>
      <nvPicPr>
        <cNvPr id="5" name="Imagen 4">
          <a:hlinkClick xmlns:a="http://schemas.openxmlformats.org/drawingml/2006/main" xmlns:r="http://schemas.openxmlformats.org/officeDocument/2006/relationships" r:id="rId3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705600" y="2705100"/>
          <a:ext cx="2997200" cy="15660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19050</colOff>
      <row>0</row>
      <rowOff>6350</rowOff>
    </from>
    <to>
      <col>1</col>
      <colOff>158750</colOff>
      <row>2</row>
      <rowOff>736</rowOff>
    </to>
    <pic>
      <nvPicPr>
        <cNvPr id="3" name="Imagen 2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6350"/>
          <a:ext cx="1441450" cy="3595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A1:D10" headerRowCount="1" totalsRowShown="0" headerRowDxfId="8" dataDxfId="6" headerRowBorderDxfId="7" tableBorderDxfId="5" totalsRowBorderDxfId="4">
  <autoFilter ref="A1:D10"/>
  <tableColumns count="4">
    <tableColumn id="1" name="Nombre del Empleado" dataDxfId="3"/>
    <tableColumn id="2" name="Cargo" dataDxfId="2"/>
    <tableColumn id="3" name="Salario básico mensual" dataDxfId="1"/>
    <tableColumn id="4" name="Auxilio de transpor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selection activeCell="D22" sqref="D22"/>
    </sheetView>
  </sheetViews>
  <sheetFormatPr baseColWidth="10" defaultColWidth="10.88671875" defaultRowHeight="14.4"/>
  <cols>
    <col width="28.88671875" bestFit="1" customWidth="1" style="1" min="1" max="1"/>
    <col width="10.109375" bestFit="1" customWidth="1" style="1" min="2" max="2"/>
    <col width="23.88671875" customWidth="1" style="1" min="3" max="3"/>
    <col width="22.5546875" customWidth="1" style="1" min="4" max="4"/>
    <col width="10.88671875" customWidth="1" style="1" min="5" max="7"/>
    <col width="12" bestFit="1" customWidth="1" style="1" min="8" max="8"/>
    <col width="10.88671875" customWidth="1" style="1" min="9" max="9"/>
    <col width="12" bestFit="1" customWidth="1" style="1" min="10" max="10"/>
    <col width="10.88671875" customWidth="1" style="1" min="11" max="16384"/>
  </cols>
  <sheetData>
    <row r="1" ht="31.8" customHeight="1" s="20" thickBot="1">
      <c r="A1" s="29" t="inlineStr">
        <is>
          <t>Nombre del titular / empleado</t>
        </is>
      </c>
      <c r="B1" s="30" t="inlineStr">
        <is>
          <t>Cargo</t>
        </is>
      </c>
      <c r="C1" s="31" t="inlineStr">
        <is>
          <t>Salario básico mensual</t>
        </is>
      </c>
      <c r="D1" s="32" t="inlineStr">
        <is>
          <t>Auxilio de transporte</t>
        </is>
      </c>
      <c r="F1" s="106" t="inlineStr">
        <is>
          <t>¿Exonerado de salud y parafiscales?</t>
        </is>
      </c>
      <c r="G1" s="107" t="n"/>
      <c r="H1" s="108" t="n"/>
      <c r="I1" s="1" t="inlineStr">
        <is>
          <t>No</t>
        </is>
      </c>
    </row>
    <row r="2">
      <c r="A2" s="9" t="inlineStr">
        <is>
          <t>Karol Yuliana Montenegro Ruiz</t>
        </is>
      </c>
      <c r="B2" s="7" t="inlineStr">
        <is>
          <t>Titular / diseñadora gráfica</t>
        </is>
      </c>
      <c r="C2" s="7" t="n"/>
      <c r="D2" s="25" t="inlineStr">
        <is>
          <t>Por confirmar</t>
        </is>
      </c>
      <c r="F2" s="21" t="inlineStr">
        <is>
          <t>Por confirmar</t>
        </is>
      </c>
      <c r="G2" s="21" t="inlineStr">
        <is>
          <t>No</t>
        </is>
      </c>
    </row>
    <row r="3">
      <c r="A3" s="9" t="n"/>
      <c r="B3" s="12" t="n"/>
      <c r="C3" s="109" t="n"/>
      <c r="D3" s="25" t="n"/>
      <c r="F3" s="94" t="inlineStr">
        <is>
          <t>Salario Mínimo</t>
        </is>
      </c>
      <c r="G3" s="110" t="n"/>
      <c r="H3" s="109" t="n">
        <v>1750905</v>
      </c>
      <c r="I3" s="22" t="n"/>
      <c r="J3" s="111" t="n"/>
    </row>
    <row r="4">
      <c r="A4" s="9" t="n"/>
      <c r="B4" s="7" t="n"/>
      <c r="C4" s="7" t="n"/>
      <c r="D4" s="25" t="n"/>
      <c r="F4" s="94" t="inlineStr">
        <is>
          <t>Auxilio de transporte</t>
        </is>
      </c>
      <c r="G4" s="110" t="n"/>
      <c r="H4" s="105" t="n">
        <v>249095</v>
      </c>
      <c r="I4" s="22" t="n"/>
    </row>
    <row r="5">
      <c r="A5" s="9" t="n"/>
      <c r="B5" s="7" t="n"/>
      <c r="C5" s="12" t="n"/>
      <c r="D5" s="25" t="n"/>
    </row>
    <row r="6">
      <c r="A6" s="9" t="n"/>
      <c r="B6" s="7" t="n"/>
      <c r="C6" s="12" t="n"/>
      <c r="D6" s="25" t="n"/>
    </row>
    <row r="7">
      <c r="A7" s="13" t="n"/>
      <c r="B7" s="12" t="n"/>
      <c r="C7" s="12" t="n"/>
      <c r="D7" s="25" t="n"/>
    </row>
    <row r="8">
      <c r="A8" s="9" t="n"/>
      <c r="B8" s="7" t="n"/>
      <c r="C8" s="7" t="n"/>
      <c r="D8" s="25" t="n"/>
    </row>
    <row r="9">
      <c r="A9" s="13" t="n"/>
      <c r="B9" s="12" t="n"/>
      <c r="C9" s="12" t="n"/>
      <c r="D9" s="25" t="n"/>
    </row>
    <row r="10">
      <c r="A10" s="27" t="n"/>
      <c r="B10" s="28" t="n"/>
      <c r="C10" s="28" t="n"/>
      <c r="D10" s="26" t="n"/>
    </row>
    <row r="12" ht="27.6" customHeight="1" s="20">
      <c r="A12" s="1" t="n"/>
      <c r="C12" s="1" t="n">
        <v>2025</v>
      </c>
      <c r="D12" s="90" t="inlineStr">
        <is>
          <t>Salario mínimo $1.423.500</t>
        </is>
      </c>
      <c r="F12" s="23" t="inlineStr">
        <is>
          <t>No olvide utilizar nuestro liquidador en línea de horas extras:</t>
        </is>
      </c>
    </row>
    <row r="13" ht="27.6" customHeight="1" s="20">
      <c r="D13" s="90" t="inlineStr">
        <is>
          <t>Auxilio de transporte $200.000</t>
        </is>
      </c>
    </row>
    <row r="14">
      <c r="A14" t="inlineStr">
        <is>
          <t>RENAX es un proyecto de persona natural y actualmente lo gestiona una sola persona.</t>
        </is>
      </c>
    </row>
    <row r="15">
      <c r="A15" t="inlineStr">
        <is>
          <t>El salario se indicó como definido, pero falta el valor mensual exacto. No liquidar hasta ingresarlo y confirmar si corresponde nómina laboral o retiro/ingreso de la titular.</t>
        </is>
      </c>
    </row>
    <row r="22">
      <c r="A22" t="inlineStr">
        <is>
          <t>Nota: los empleados y salarios precargados son datos de ejemplo; deben reemplazarse por los datos reales de RENAX.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3vNv9TO/gy/jWoTnt+06bw==" formatRows="1" sort="1" spinCount="100000" hashValue="q+MP3+PIXyrDOd2bIhLkRnS1NTz8Ov52I7ec3OQP1weE/hTWRnaVZzZEnq53mL/lGllz/dt1lhP6/Ze5El4wIA=="/>
  <mergeCells count="3">
    <mergeCell ref="F3:G3"/>
    <mergeCell ref="F4:G4"/>
    <mergeCell ref="F1:H1"/>
  </mergeCells>
  <dataValidations count="1">
    <dataValidation sqref="D2:D10 I1" showDropDown="0" showInputMessage="1" showErrorMessage="1" allowBlank="1" type="list">
      <formula1>$F$2:$G$2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7" sqref="A7"/>
    </sheetView>
  </sheetViews>
  <sheetFormatPr baseColWidth="10" defaultColWidth="10.88671875" defaultRowHeight="14.4"/>
  <cols>
    <col width="18.5546875" bestFit="1" customWidth="1" style="1" min="1" max="1"/>
    <col width="12.109375" bestFit="1" customWidth="1" style="1" min="2" max="2"/>
    <col width="12.5546875" bestFit="1" customWidth="1" style="1" min="3" max="3"/>
    <col width="12.109375" customWidth="1" style="1" min="4" max="4"/>
    <col width="12.109375" bestFit="1" customWidth="1" style="1" min="5" max="5"/>
    <col width="11.5546875" bestFit="1" customWidth="1" style="1" min="6" max="6"/>
    <col width="12.109375" bestFit="1" customWidth="1" style="1" min="7" max="8"/>
    <col width="11.5546875" bestFit="1" customWidth="1" style="1" min="9" max="9"/>
    <col width="12.109375" bestFit="1" customWidth="1" style="1" min="10" max="10"/>
    <col width="11.44140625" customWidth="1" style="1" min="11" max="11"/>
    <col width="10.88671875" customWidth="1" style="1" min="12" max="12"/>
    <col width="24.6640625" customWidth="1" style="1" min="13" max="13"/>
    <col width="19.44140625" customWidth="1" style="1" min="14" max="14"/>
    <col width="20.33203125" customWidth="1" style="1" min="15" max="15"/>
    <col width="10.88671875" customWidth="1" style="1" min="16" max="16384"/>
  </cols>
  <sheetData>
    <row r="1" ht="14.4" customHeight="1" s="20">
      <c r="A1" s="24" t="n"/>
      <c r="B1" s="24" t="n"/>
      <c r="C1" s="100" t="inlineStr">
        <is>
          <t>Razón social / nombre comercial: RENAX (persona natural)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40" t="n"/>
      <c r="M1" s="40" t="n"/>
      <c r="N1" s="40" t="n"/>
      <c r="O1" s="40" t="n"/>
    </row>
    <row r="2" ht="14.4" customHeight="1" s="20">
      <c r="A2" s="24" t="n"/>
      <c r="B2" s="24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40" t="n"/>
      <c r="M2" s="40" t="n"/>
      <c r="N2" s="40" t="n"/>
      <c r="O2" s="40" t="n"/>
    </row>
    <row r="3" ht="21" customHeight="1" s="20" thickBot="1">
      <c r="A3" s="41" t="inlineStr">
        <is>
          <t>Periodo de nómina</t>
        </is>
      </c>
      <c r="B3" s="41" t="n"/>
      <c r="C3" s="101" t="inlineStr">
        <is>
          <t>Mensual — periodo exacto por confirmar</t>
        </is>
      </c>
      <c r="D3" s="112" t="n"/>
      <c r="E3" s="112" t="n"/>
      <c r="F3" s="112" t="n"/>
      <c r="G3" s="112" t="n"/>
      <c r="H3" s="112" t="n"/>
      <c r="I3" s="112" t="n"/>
      <c r="J3" s="112" t="n"/>
      <c r="K3" s="112" t="n"/>
      <c r="L3" s="41" t="n"/>
      <c r="M3" s="41" t="n"/>
      <c r="N3" s="41" t="n"/>
      <c r="O3" s="41" t="n"/>
    </row>
    <row r="4" ht="15" customHeight="1" s="20" thickBot="1">
      <c r="A4" s="42" t="n"/>
      <c r="B4" s="42" t="n"/>
      <c r="C4" s="113" t="inlineStr">
        <is>
          <t>DEVENGADO</t>
        </is>
      </c>
      <c r="D4" s="107" t="n"/>
      <c r="E4" s="107" t="n"/>
      <c r="F4" s="107" t="n"/>
      <c r="G4" s="108" t="n"/>
      <c r="H4" s="113" t="inlineStr">
        <is>
          <t>DEDUCCIONES</t>
        </is>
      </c>
      <c r="I4" s="107" t="n"/>
      <c r="J4" s="107" t="n"/>
      <c r="K4" s="108" t="n"/>
      <c r="L4" s="43" t="n"/>
      <c r="M4" s="43" t="n"/>
      <c r="N4" s="42" t="n"/>
      <c r="O4" s="42" t="n"/>
    </row>
    <row r="5" ht="36.6" customHeight="1" s="20" thickBot="1">
      <c r="A5" s="34" t="inlineStr">
        <is>
          <t>Nombre del Empleado</t>
        </is>
      </c>
      <c r="B5" s="35" t="inlineStr">
        <is>
          <t>Días laborados</t>
        </is>
      </c>
      <c r="C5" s="36" t="inlineStr">
        <is>
          <t>Total básico</t>
        </is>
      </c>
      <c r="D5" s="37" t="inlineStr">
        <is>
          <t>Aux de transporte</t>
        </is>
      </c>
      <c r="E5" s="37" t="inlineStr">
        <is>
          <t>Horas Extras</t>
        </is>
      </c>
      <c r="F5" s="37" t="inlineStr">
        <is>
          <t>Comisiones</t>
        </is>
      </c>
      <c r="G5" s="38" t="inlineStr">
        <is>
          <t>Total Devengado</t>
        </is>
      </c>
      <c r="H5" s="36" t="inlineStr">
        <is>
          <t>Salud</t>
        </is>
      </c>
      <c r="I5" s="37" t="inlineStr">
        <is>
          <t>Pensión</t>
        </is>
      </c>
      <c r="J5" s="37" t="inlineStr">
        <is>
          <t>Retención/ otras deducciones</t>
        </is>
      </c>
      <c r="K5" s="38" t="inlineStr">
        <is>
          <t>Total Deducciones</t>
        </is>
      </c>
      <c r="L5" s="44" t="inlineStr">
        <is>
          <t>Neto Pagado</t>
        </is>
      </c>
      <c r="M5" s="39" t="inlineStr">
        <is>
          <t>Firma</t>
        </is>
      </c>
    </row>
    <row r="6">
      <c r="A6" s="2">
        <f>IF('Datos iniciales'!A2="","",'Datos iniciales'!A2)</f>
        <v/>
      </c>
      <c r="B6" s="3" t="n">
        <v>30</v>
      </c>
      <c r="C6" s="45">
        <f>('Datos iniciales'!C2/30)*'Liquidador de nómina'!B6</f>
        <v/>
      </c>
      <c r="D6" s="2">
        <f>IF('Datos iniciales'!D2="Si",('Datos iniciales'!H4/30)*'Liquidador de nómina'!B6,0)</f>
        <v/>
      </c>
      <c r="E6" s="2" t="n"/>
      <c r="F6" s="2" t="n"/>
      <c r="G6" s="4">
        <f>SUM(C6:F6)</f>
        <v/>
      </c>
      <c r="H6" s="45">
        <f>+(G6-D6)*0.04</f>
        <v/>
      </c>
      <c r="I6" s="2">
        <f>+(G6-D6)*0.04</f>
        <v/>
      </c>
      <c r="J6" s="2" t="n"/>
      <c r="K6" s="4">
        <f>SUM(H6:J6)</f>
        <v/>
      </c>
      <c r="L6" s="46">
        <f>+G6-K6</f>
        <v/>
      </c>
      <c r="M6" s="5" t="n"/>
    </row>
    <row r="7">
      <c r="A7" s="47">
        <f>IF('Datos iniciales'!A3="","",'Datos iniciales'!A3)</f>
        <v/>
      </c>
      <c r="B7" s="3" t="n"/>
      <c r="C7" s="48">
        <f>('Datos iniciales'!C3/30)*'Liquidador de nómina'!B7</f>
        <v/>
      </c>
      <c r="D7" s="47">
        <f>'Datos iniciales'!H4</f>
        <v/>
      </c>
      <c r="E7" s="7" t="n"/>
      <c r="F7" s="7" t="n"/>
      <c r="G7" s="49">
        <f>SUM(C7:F7)</f>
        <v/>
      </c>
      <c r="H7" s="48">
        <f>+(G7-D7)*0.04</f>
        <v/>
      </c>
      <c r="I7" s="47">
        <f>+(G7-D7)*0.04</f>
        <v/>
      </c>
      <c r="J7" s="7" t="n"/>
      <c r="K7" s="8">
        <f>SUM(H7:J7)</f>
        <v/>
      </c>
      <c r="L7" s="9">
        <f>+G7-K7</f>
        <v/>
      </c>
      <c r="M7" s="10" t="n"/>
    </row>
    <row r="8">
      <c r="A8" s="2">
        <f>IF('Datos iniciales'!A4="","",'Datos iniciales'!A4)</f>
        <v/>
      </c>
      <c r="B8" s="3" t="n"/>
      <c r="C8" s="45">
        <f>('Datos iniciales'!C4/30)*'Liquidador de nómina'!B8</f>
        <v/>
      </c>
      <c r="D8" s="47">
        <f>'Datos iniciales'!H4</f>
        <v/>
      </c>
      <c r="E8" s="12" t="n"/>
      <c r="F8" s="12" t="n"/>
      <c r="G8" s="50">
        <f>SUM(C8:F8)</f>
        <v/>
      </c>
      <c r="H8" s="45">
        <f>+(G8-D8)*0.04</f>
        <v/>
      </c>
      <c r="I8" s="2">
        <f>+(G8-D8)*0.04</f>
        <v/>
      </c>
      <c r="J8" s="12" t="n"/>
      <c r="K8" s="4">
        <f>SUM(H8:J8)</f>
        <v/>
      </c>
      <c r="L8" s="13">
        <f>+G8-K8</f>
        <v/>
      </c>
      <c r="M8" s="14" t="n"/>
    </row>
    <row r="9">
      <c r="A9" s="47">
        <f>IF('Datos iniciales'!A5="","",'Datos iniciales'!A5)</f>
        <v/>
      </c>
      <c r="B9" s="3" t="n"/>
      <c r="C9" s="48">
        <f>('Datos iniciales'!C5/30)*'Liquidador de nómina'!B9</f>
        <v/>
      </c>
      <c r="D9" s="47">
        <f>'Datos iniciales'!H4</f>
        <v/>
      </c>
      <c r="E9" s="7" t="n"/>
      <c r="F9" s="7" t="n"/>
      <c r="G9" s="49">
        <f>SUM(C9:F9)</f>
        <v/>
      </c>
      <c r="H9" s="48">
        <f>+(G9-D9)*0.04</f>
        <v/>
      </c>
      <c r="I9" s="47">
        <f>+(G9-D9)*0.04</f>
        <v/>
      </c>
      <c r="J9" s="7" t="n"/>
      <c r="K9" s="8">
        <f>SUM(H9:J9)</f>
        <v/>
      </c>
      <c r="L9" s="9">
        <f>+G9-K9</f>
        <v/>
      </c>
      <c r="M9" s="10" t="n"/>
    </row>
    <row r="10">
      <c r="A10" s="2">
        <f>IF('Datos iniciales'!A6="","",'Datos iniciales'!A6)</f>
        <v/>
      </c>
      <c r="B10" s="3" t="n"/>
      <c r="C10" s="45">
        <f>('Datos iniciales'!C6/30)*'Liquidador de nómina'!B10</f>
        <v/>
      </c>
      <c r="D10" s="47">
        <f>'Datos iniciales'!H4</f>
        <v/>
      </c>
      <c r="E10" s="12" t="n"/>
      <c r="F10" s="12" t="n"/>
      <c r="G10" s="50">
        <f>SUM(C10:F10)</f>
        <v/>
      </c>
      <c r="H10" s="45">
        <f>+(G10-D10)*0.04</f>
        <v/>
      </c>
      <c r="I10" s="2">
        <f>+(G10-D10)*0.04</f>
        <v/>
      </c>
      <c r="J10" s="12" t="n"/>
      <c r="K10" s="4">
        <f>SUM(H10:J10)</f>
        <v/>
      </c>
      <c r="L10" s="13">
        <f>+G10-K10</f>
        <v/>
      </c>
      <c r="M10" s="14" t="n"/>
    </row>
    <row r="11">
      <c r="A11" s="47">
        <f>IF('Datos iniciales'!A7="","",'Datos iniciales'!A7)</f>
        <v/>
      </c>
      <c r="B11" s="6" t="n"/>
      <c r="C11" s="48">
        <f>('Datos iniciales'!C7/30)*'Liquidador de nómina'!B11</f>
        <v/>
      </c>
      <c r="D11" s="47">
        <f>IF('Datos iniciales'!D7="Si",('Datos iniciales'!H9/30)*'Liquidador de nómina'!B11,0)</f>
        <v/>
      </c>
      <c r="E11" s="7" t="n"/>
      <c r="F11" s="7" t="n"/>
      <c r="G11" s="49">
        <f>SUM(C11:F11)</f>
        <v/>
      </c>
      <c r="H11" s="48">
        <f>+(G11-D11)*0.04</f>
        <v/>
      </c>
      <c r="I11" s="47">
        <f>+(G11-D11)*0.04</f>
        <v/>
      </c>
      <c r="J11" s="7" t="n"/>
      <c r="K11" s="8">
        <f>SUM(H11:J11)</f>
        <v/>
      </c>
      <c r="L11" s="9">
        <f>+G11-K11</f>
        <v/>
      </c>
      <c r="M11" s="10" t="n"/>
    </row>
    <row r="12">
      <c r="A12" s="2">
        <f>IF('Datos iniciales'!A8="","",'Datos iniciales'!A8)</f>
        <v/>
      </c>
      <c r="B12" s="11" t="n"/>
      <c r="C12" s="45">
        <f>('Datos iniciales'!C8/30)*'Liquidador de nómina'!B12</f>
        <v/>
      </c>
      <c r="D12" s="2">
        <f>IF('Datos iniciales'!D8="Si",('Datos iniciales'!H10/30)*'Liquidador de nómina'!B12,0)</f>
        <v/>
      </c>
      <c r="E12" s="12" t="n"/>
      <c r="F12" s="12" t="n"/>
      <c r="G12" s="50">
        <f>SUM(C12:F12)</f>
        <v/>
      </c>
      <c r="H12" s="45">
        <f>+(G12-D12)*0.04</f>
        <v/>
      </c>
      <c r="I12" s="2">
        <f>+(G12-D12)*0.04</f>
        <v/>
      </c>
      <c r="J12" s="12" t="n"/>
      <c r="K12" s="4">
        <f>SUM(H12:J12)</f>
        <v/>
      </c>
      <c r="L12" s="13">
        <f>+G12-K12</f>
        <v/>
      </c>
      <c r="M12" s="14" t="n"/>
    </row>
    <row r="13">
      <c r="A13" s="47">
        <f>IF('Datos iniciales'!A9="","",'Datos iniciales'!A9)</f>
        <v/>
      </c>
      <c r="B13" s="6" t="n"/>
      <c r="C13" s="48">
        <f>('Datos iniciales'!C9/30)*'Liquidador de nómina'!B13</f>
        <v/>
      </c>
      <c r="D13" s="47">
        <f>IF('Datos iniciales'!D9="Si",('Datos iniciales'!H11/30)*'Liquidador de nómina'!B13,0)</f>
        <v/>
      </c>
      <c r="E13" s="7" t="n"/>
      <c r="F13" s="7" t="n"/>
      <c r="G13" s="49">
        <f>SUM(C13:F13)</f>
        <v/>
      </c>
      <c r="H13" s="48">
        <f>+(G13-D13)*0.04</f>
        <v/>
      </c>
      <c r="I13" s="47">
        <f>+(G13-D13)*0.04</f>
        <v/>
      </c>
      <c r="J13" s="7" t="n"/>
      <c r="K13" s="8">
        <f>SUM(H13:J13)</f>
        <v/>
      </c>
      <c r="L13" s="9">
        <f>+G13-K13</f>
        <v/>
      </c>
      <c r="M13" s="10" t="n"/>
    </row>
    <row r="14">
      <c r="A14" s="2">
        <f>IF('Datos iniciales'!A10="","",'Datos iniciales'!A10)</f>
        <v/>
      </c>
      <c r="B14" s="11" t="n"/>
      <c r="C14" s="45">
        <f>('Datos iniciales'!C10/30)*'Liquidador de nómina'!B14</f>
        <v/>
      </c>
      <c r="D14" s="2">
        <f>IF('Datos iniciales'!D10="Si",('Datos iniciales'!H12/30)*'Liquidador de nómina'!B14,0)</f>
        <v/>
      </c>
      <c r="E14" s="12" t="n"/>
      <c r="F14" s="12" t="n"/>
      <c r="G14" s="50">
        <f>SUM(C14:F14)</f>
        <v/>
      </c>
      <c r="H14" s="45">
        <f>+(G14-D14)*0.04</f>
        <v/>
      </c>
      <c r="I14" s="2">
        <f>+(G14-D14)*0.04</f>
        <v/>
      </c>
      <c r="J14" s="12" t="n"/>
      <c r="K14" s="4">
        <f>SUM(H14:J14)</f>
        <v/>
      </c>
      <c r="L14" s="13">
        <f>+G14-K14</f>
        <v/>
      </c>
      <c r="M14" s="14" t="n"/>
    </row>
    <row r="15" ht="15" customHeight="1" s="20" thickBot="1">
      <c r="A15" s="15" t="inlineStr">
        <is>
          <t>TOTALES</t>
        </is>
      </c>
      <c r="B15" s="16" t="n"/>
      <c r="C15" s="51">
        <f>SUM(C6:C14)</f>
        <v/>
      </c>
      <c r="D15" s="17">
        <f>SUM(D6:D14)</f>
        <v/>
      </c>
      <c r="E15" s="17">
        <f>SUM(E6:E14)</f>
        <v/>
      </c>
      <c r="F15" s="17">
        <f>SUM(F6:F14)</f>
        <v/>
      </c>
      <c r="G15" s="18">
        <f>SUM(G6:G14)</f>
        <v/>
      </c>
      <c r="H15" s="51">
        <f>SUM(H6:H14)</f>
        <v/>
      </c>
      <c r="I15" s="17">
        <f>SUM(I6:I14)</f>
        <v/>
      </c>
      <c r="J15" s="17">
        <f>SUM(J6:J14)</f>
        <v/>
      </c>
      <c r="K15" s="18">
        <f>SUM(K6:K14)</f>
        <v/>
      </c>
      <c r="L15" s="52">
        <f>SUM(L6:L14)</f>
        <v/>
      </c>
      <c r="M15" s="19" t="n"/>
    </row>
    <row r="16"/>
    <row r="17" ht="25.8" customHeight="1" s="20">
      <c r="A17" s="53" t="inlineStr">
        <is>
          <t>Datos para el empleador</t>
        </is>
      </c>
    </row>
    <row r="18" ht="6.6" customHeight="1" s="20" thickBot="1">
      <c r="A18" s="53" t="n"/>
    </row>
    <row r="19" ht="15" customHeight="1" s="20" thickBot="1">
      <c r="B19" s="102" t="inlineStr">
        <is>
          <t>Seguridad social</t>
        </is>
      </c>
      <c r="C19" s="114" t="n"/>
      <c r="D19" s="102" t="inlineStr">
        <is>
          <t>Aportes parafiscales</t>
        </is>
      </c>
      <c r="E19" s="107" t="n"/>
      <c r="F19" s="114" t="n"/>
      <c r="G19" s="102" t="inlineStr">
        <is>
          <t>Provisiones</t>
        </is>
      </c>
      <c r="H19" s="107" t="n"/>
      <c r="I19" s="107" t="n"/>
      <c r="J19" s="114" t="n"/>
    </row>
    <row r="20">
      <c r="A20" s="115" t="inlineStr">
        <is>
          <t>Nombre del Empleado</t>
        </is>
      </c>
      <c r="B20" s="54" t="inlineStr">
        <is>
          <t>Salud</t>
        </is>
      </c>
      <c r="C20" s="55" t="inlineStr">
        <is>
          <t>Pensión</t>
        </is>
      </c>
      <c r="D20" s="54" t="inlineStr">
        <is>
          <t>Caja de comp</t>
        </is>
      </c>
      <c r="E20" s="56" t="inlineStr">
        <is>
          <t>ICBF</t>
        </is>
      </c>
      <c r="F20" s="55" t="inlineStr">
        <is>
          <t>Sena</t>
        </is>
      </c>
      <c r="G20" s="54" t="inlineStr">
        <is>
          <t>Prima</t>
        </is>
      </c>
      <c r="H20" s="56" t="inlineStr">
        <is>
          <t>Cesantías</t>
        </is>
      </c>
      <c r="I20" s="56" t="inlineStr">
        <is>
          <t>Intereses</t>
        </is>
      </c>
      <c r="J20" s="55" t="inlineStr">
        <is>
          <t>Vacaciones</t>
        </is>
      </c>
    </row>
    <row r="21" ht="15" customHeight="1" s="20" thickBot="1">
      <c r="A21" s="116" t="n"/>
      <c r="B21" s="117">
        <f>IF('Datos iniciales'!I1="Si",0,8.5%)</f>
        <v/>
      </c>
      <c r="C21" s="58" t="n">
        <v>0.12</v>
      </c>
      <c r="D21" s="59" t="n">
        <v>0.04</v>
      </c>
      <c r="E21" s="60">
        <f>IF('Datos iniciales'!I1="Si",0,3%)</f>
        <v/>
      </c>
      <c r="F21" s="58">
        <f>IF('Datos iniciales'!I1="Si",0,2%)</f>
        <v/>
      </c>
      <c r="G21" s="61" t="n">
        <v>0.0833</v>
      </c>
      <c r="H21" s="62" t="n">
        <v>0.0833</v>
      </c>
      <c r="I21" s="63" t="n">
        <v>0.01</v>
      </c>
      <c r="J21" s="64" t="n">
        <v>0.0417</v>
      </c>
    </row>
    <row r="22">
      <c r="A22" s="65" t="inlineStr">
        <is>
          <t>Pendiente: ingresar el salario mensual acordado y confirmar las condiciones aplicables antes de usar esta liquidación.</t>
        </is>
      </c>
      <c r="B22" s="118">
        <f>IF((G6-D6)*$B$21=0,"",(G6-D6)*$B$21)</f>
        <v/>
      </c>
      <c r="C22" s="119">
        <f>IF((G6-D6)*$C$21=0,"",(G6-D6)*$C$21)</f>
        <v/>
      </c>
      <c r="D22" s="120">
        <f>IF((G6-D6)*$D$21=0,"",(G6-D6)*$D$21)</f>
        <v/>
      </c>
      <c r="E22" s="121">
        <f>IF((G6-D6)*$E$21=0,"",(G6-D6)*$E$21)</f>
        <v/>
      </c>
      <c r="F22" s="119">
        <f>IF((G6-D6)*$F$21=0,"",(G6-D6)*$F$21)</f>
        <v/>
      </c>
      <c r="G22" s="120">
        <f>IF((G6)*$G$21=0,"",(G6)*$G$21)</f>
        <v/>
      </c>
      <c r="H22" s="121">
        <f>IF((G6)*$H$21=0,"",(G6)*$H$21)</f>
        <v/>
      </c>
      <c r="I22" s="121">
        <f>IF((G6)*$I$21=0,"",(G6)*$I$21)</f>
        <v/>
      </c>
      <c r="J22" s="119">
        <f>IF((G6-D6)*$J$21=0,"",(G6-D6)*$J$21)</f>
        <v/>
      </c>
      <c r="K22" s="111">
        <f>G22+H22+I22+J22</f>
        <v/>
      </c>
    </row>
    <row r="23">
      <c r="A23" s="70">
        <f>IF(A7="","",A7)</f>
        <v/>
      </c>
      <c r="B23" s="122">
        <f>IF((G7-D7)*$B$21=0,"",(G7-D7)*$B$21)</f>
        <v/>
      </c>
      <c r="C23" s="123">
        <f>IF((G7-D7)*$C$21=0,"",(G7-D7)*$C$21)</f>
        <v/>
      </c>
      <c r="D23" s="124">
        <f>IF((G7-D7)*$D$21=0,"",(G7-D7)*$D$21)</f>
        <v/>
      </c>
      <c r="E23" s="125">
        <f>IF((G7-D7)*$E$21=0,"",(G7-D7)*$E$21)</f>
        <v/>
      </c>
      <c r="F23" s="123">
        <f>IF((G7-D7)*$F$21=0,"",(G7-D7)*$F$21)</f>
        <v/>
      </c>
      <c r="G23" s="124">
        <f>IF((G7)*$G$21=0,"",(G7)*$G$21)</f>
        <v/>
      </c>
      <c r="H23" s="121">
        <f>IF((G7)*$H$21=0,"",(G7)*$H$21)</f>
        <v/>
      </c>
      <c r="I23" s="121">
        <f>IF((G7)*$I$21=0,"",(G7)*$I$21)</f>
        <v/>
      </c>
      <c r="J23" s="119">
        <f>IF((G7-D7)*$J$21=0,"",(G7-D7)*$J$21)</f>
        <v/>
      </c>
      <c r="K23" s="111">
        <f>G23+H23+I23+J23</f>
        <v/>
      </c>
    </row>
    <row r="24">
      <c r="A24" s="65">
        <f>IF(A8="","",A8)</f>
        <v/>
      </c>
      <c r="B24" s="118">
        <f>IF((G8-D8)*$B$21=0,"",(G8-D8)*$B$21)</f>
        <v/>
      </c>
      <c r="C24" s="119">
        <f>IF((G8-D8)*$C$21=0,"",(G8-D8)*$C$21)</f>
        <v/>
      </c>
      <c r="D24" s="120">
        <f>IF((G8-D8)*$D$21=0,"",(G8-D8)*$D$21)</f>
        <v/>
      </c>
      <c r="E24" s="121">
        <f>IF((G8-D8)*$E$21=0,"",(G8-D8)*$E$21)</f>
        <v/>
      </c>
      <c r="F24" s="119">
        <f>IF((G8-D8)*$F$21=0,"",(G8-D8)*$F$21)</f>
        <v/>
      </c>
      <c r="G24" s="120">
        <f>IF((G8)*$G$21=0,"",(G8)*$G$21)</f>
        <v/>
      </c>
      <c r="H24" s="121">
        <f>IF((G8)*$H$21=0,"",(G8)*$H$21)</f>
        <v/>
      </c>
      <c r="I24" s="121">
        <f>IF((G8)*$I$21=0,"",(G8)*$I$21)</f>
        <v/>
      </c>
      <c r="J24" s="119">
        <f>IF((G8-D8)*$J$21=0,"",(G8-D8)*$J$21)</f>
        <v/>
      </c>
      <c r="K24" s="111">
        <f>G24+H24+I24+J24</f>
        <v/>
      </c>
    </row>
    <row r="25">
      <c r="A25" s="70">
        <f>IF(A9="","",A9)</f>
        <v/>
      </c>
      <c r="B25" s="122">
        <f>IF((G9-D9)*$B$21=0,"",(G9-D9)*$B$21)</f>
        <v/>
      </c>
      <c r="C25" s="123">
        <f>IF((G9-D9)*$C$21=0,"",(G9-D9)*$C$21)</f>
        <v/>
      </c>
      <c r="D25" s="124">
        <f>IF((G9-D9)*$D$21=0,"",(G9-D9)*$D$21)</f>
        <v/>
      </c>
      <c r="E25" s="125">
        <f>IF((G9-D9)*$E$21=0,"",(G9-D9)*$E$21)</f>
        <v/>
      </c>
      <c r="F25" s="123">
        <f>IF((G9-D9)*$F$21=0,"",(G9-D9)*$F$21)</f>
        <v/>
      </c>
      <c r="G25" s="124">
        <f>IF((G9)*$G$21=0,"",(G9)*$G$21)</f>
        <v/>
      </c>
      <c r="H25" s="121">
        <f>IF((G9)*$H$21=0,"",(G9)*$H$21)</f>
        <v/>
      </c>
      <c r="I25" s="121">
        <f>IF((G9)*$I$21=0,"",(G9)*$I$21)</f>
        <v/>
      </c>
      <c r="J25" s="119">
        <f>IF((G9-D9)*$J$21=0,"",(G9-D9)*$J$21)</f>
        <v/>
      </c>
      <c r="K25" s="111">
        <f>G25+H25+I25+J25</f>
        <v/>
      </c>
    </row>
    <row r="26">
      <c r="A26" s="65">
        <f>IF(A10="","",A10)</f>
        <v/>
      </c>
      <c r="B26" s="118">
        <f>IF((G10-D10)*$B$21=0,"",(G10-D10)*$B$21)</f>
        <v/>
      </c>
      <c r="C26" s="119">
        <f>IF((G10-D10)*$C$21=0,"",(G10-D10)*$C$21)</f>
        <v/>
      </c>
      <c r="D26" s="120">
        <f>IF((G10-D10)*$D$21=0,"",(G10-D10)*$D$21)</f>
        <v/>
      </c>
      <c r="E26" s="121">
        <f>IF((G10-D10)*$E$21=0,"",(G10-D10)*$E$21)</f>
        <v/>
      </c>
      <c r="F26" s="119">
        <f>IF((G10-D10)*$F$21=0,"",(G10-D10)*$F$21)</f>
        <v/>
      </c>
      <c r="G26" s="120">
        <f>IF((G10)*$G$21=0,"",(G10)*$G$21)</f>
        <v/>
      </c>
      <c r="H26" s="121">
        <f>IF((G10)*$H$21=0,"",(G10)*$H$21)</f>
        <v/>
      </c>
      <c r="I26" s="121">
        <f>IF((G10)*$I$21=0,"",(G10)*$I$21)</f>
        <v/>
      </c>
      <c r="J26" s="119">
        <f>IF((G10-D10)*$J$21=0,"",(G10-D10)*$J$21)</f>
        <v/>
      </c>
      <c r="K26" s="111">
        <f>G26+H26+I26+J26</f>
        <v/>
      </c>
    </row>
    <row r="27">
      <c r="A27" s="70">
        <f>IF(A11="","",A11)</f>
        <v/>
      </c>
      <c r="B27" s="122">
        <f>IF((G11-D11)*$B$21=0,"",(G11-D11)*$B$21)</f>
        <v/>
      </c>
      <c r="C27" s="123">
        <f>IF((G11-D11)*$C$21=0,"",(G11-D11)*$C$21)</f>
        <v/>
      </c>
      <c r="D27" s="124">
        <f>IF((G11-D11)*$D$21=0,"",(G11-D11)*$D$21)</f>
        <v/>
      </c>
      <c r="E27" s="125">
        <f>IF((G11-D11)*$E$21=0,"",(G11-D11)*$E$21)</f>
        <v/>
      </c>
      <c r="F27" s="123">
        <f>IF((G11-D11)*$F$21=0,"",(G11-D11)*$F$21)</f>
        <v/>
      </c>
      <c r="G27" s="124">
        <f>IF((G11)*$G$21=0,"",(G11)*$G$21)</f>
        <v/>
      </c>
      <c r="H27" s="126" t="n"/>
      <c r="I27" s="126" t="n"/>
      <c r="J27" s="127" t="n"/>
    </row>
    <row r="28">
      <c r="A28" s="65">
        <f>IF(A12="","",A12)</f>
        <v/>
      </c>
      <c r="B28" s="118">
        <f>IF((G12-D12)*$B$21=0,"",(G12-D12)*$B$21)</f>
        <v/>
      </c>
      <c r="C28" s="119">
        <f>IF((G12-D12)*$C$21=0,"",(G12-D12)*$C$21)</f>
        <v/>
      </c>
      <c r="D28" s="120">
        <f>IF((G12-D12)*$D$21=0,"",(G12-D12)*$D$21)</f>
        <v/>
      </c>
      <c r="E28" s="121">
        <f>IF((G12-D12)*$E$21=0,"",(G12-D12)*$E$21)</f>
        <v/>
      </c>
      <c r="F28" s="119">
        <f>IF((G12-D12)*$F$21=0,"",(G12-D12)*$F$21)</f>
        <v/>
      </c>
      <c r="G28" s="120">
        <f>IF((G12)*$G$21=0,"",(G12)*$G$21)</f>
        <v/>
      </c>
      <c r="H28" s="128" t="n"/>
      <c r="I28" s="128" t="n"/>
      <c r="J28" s="129" t="n"/>
    </row>
    <row r="29">
      <c r="A29" s="70">
        <f>IF(A13="","",A13)</f>
        <v/>
      </c>
      <c r="B29" s="122">
        <f>IF((G13-D13)*$B$21=0,"",(G13-D13)*$B$21)</f>
        <v/>
      </c>
      <c r="C29" s="123" t="inlineStr">
        <is>
          <t xml:space="preserve">                                </t>
        </is>
      </c>
      <c r="D29" s="124">
        <f>IF((G13-D13)*$D$21=0,"",(G13-D13)*$D$21)</f>
        <v/>
      </c>
      <c r="E29" s="125">
        <f>IF((G13-D13)*$E$21=0,"",(G13-D13)*$E$21)</f>
        <v/>
      </c>
      <c r="F29" s="123">
        <f>IF((G13-D13)*$F$21=0,"",(G13-D13)*$F$21)</f>
        <v/>
      </c>
      <c r="G29" s="124">
        <f>IF((G13)*$G$21=0,"",(G13)*$G$21)</f>
        <v/>
      </c>
      <c r="H29" s="126" t="n"/>
      <c r="I29" s="126" t="n"/>
      <c r="J29" s="127" t="n"/>
    </row>
    <row r="30" ht="15" customHeight="1" s="20" thickBot="1">
      <c r="A30" s="79">
        <f>IF(A14="","",A14)</f>
        <v/>
      </c>
      <c r="B30" s="130">
        <f>IF((G14-D14)*$B$21=0,"",(G14-D14)*$B$21)</f>
        <v/>
      </c>
      <c r="C30" s="131">
        <f>IF((G14-D14)*$C$21=0,"",(G14-D14)*$C$21)</f>
        <v/>
      </c>
      <c r="D30" s="132">
        <f>IF((G14-D14)*$D$21=0,"",(G14-D14)*$D$21)</f>
        <v/>
      </c>
      <c r="E30" s="133">
        <f>IF((G14-D14)*$E$21=0,"",(G14-D14)*$E$21)</f>
        <v/>
      </c>
      <c r="F30" s="131">
        <f>IF((G14-D14)*$F$21=0,"",(G14-D14)*$F$21)</f>
        <v/>
      </c>
      <c r="G30" s="132">
        <f>IF((G14)*$G$21=0,"",(G14)*$G$21)</f>
        <v/>
      </c>
      <c r="H30" s="134" t="n"/>
      <c r="I30" s="134" t="n"/>
      <c r="J30" s="135" t="n"/>
    </row>
    <row r="31" ht="15" customHeight="1" s="20" thickBot="1">
      <c r="A31" s="86" t="inlineStr">
        <is>
          <t>TOTALES</t>
        </is>
      </c>
      <c r="B31" s="87">
        <f>SUM(B22:B30)</f>
        <v/>
      </c>
      <c r="C31" s="87">
        <f>SUM(C22:C30)</f>
        <v/>
      </c>
      <c r="D31" s="87">
        <f>SUM(D22:D30)</f>
        <v/>
      </c>
      <c r="E31" s="87">
        <f>SUM(E22:E30)</f>
        <v/>
      </c>
      <c r="F31" s="87">
        <f>SUM(F22:F30)</f>
        <v/>
      </c>
      <c r="G31" s="87">
        <f>SUM(G22:G30)</f>
        <v/>
      </c>
      <c r="H31" s="87">
        <f>SUM(H22:H30)</f>
        <v/>
      </c>
      <c r="I31" s="87">
        <f>SUM(I22:I30)</f>
        <v/>
      </c>
      <c r="J31" s="87">
        <f>SUM(J22:J30)</f>
        <v/>
      </c>
    </row>
    <row r="32">
      <c r="B32" s="136">
        <f>SUM(B22:B26)</f>
        <v/>
      </c>
      <c r="C32" s="136">
        <f>SUM(C22:C26)</f>
        <v/>
      </c>
      <c r="D32" s="136">
        <f>SUM(D22:D26)</f>
        <v/>
      </c>
      <c r="E32" s="136">
        <f>SUM(E22:E26)</f>
        <v/>
      </c>
      <c r="F32" s="136">
        <f>SUM(F22:F26)</f>
        <v/>
      </c>
      <c r="G32" s="136">
        <f>SUM(G22:G26)</f>
        <v/>
      </c>
      <c r="H32" s="136">
        <f>SUM(H22:H26)</f>
        <v/>
      </c>
      <c r="I32" s="136">
        <f>SUM(I22:I26)</f>
        <v/>
      </c>
      <c r="J32" s="136">
        <f>SUM(J22:J26)</f>
        <v/>
      </c>
      <c r="K32" s="111" t="n"/>
    </row>
    <row r="33">
      <c r="J33" s="111" t="n">
        <v>1465127</v>
      </c>
      <c r="K33" s="1" t="inlineStr">
        <is>
          <t>TOTAL PROVISIONES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Hw2cXX0gJkps9/gw3Pzdg==" formatRows="1" sort="1" spinCount="100000" hashValue="pBoimot1B4GEYWqSbnq0n93hI2EUXPbl6h21QU+16a9misgU/LGa2HHTz8yt46WszNZOrvE8ymL8IdO6+5VqGQ=="/>
  <mergeCells count="8">
    <mergeCell ref="H4:K4"/>
    <mergeCell ref="C4:G4"/>
    <mergeCell ref="D19:F19"/>
    <mergeCell ref="C1:K2"/>
    <mergeCell ref="B19:C19"/>
    <mergeCell ref="A20:A21"/>
    <mergeCell ref="C3:K3"/>
    <mergeCell ref="G19:J19"/>
  </mergeCell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 de Windows</dc:creator>
  <dcterms:created xmlns:dcterms="http://purl.org/dc/terms/" xmlns:xsi="http://www.w3.org/2001/XMLSchema-instance" xsi:type="dcterms:W3CDTF">2020-04-04T21:31:59Z</dcterms:created>
  <dcterms:modified xmlns:dcterms="http://purl.org/dc/terms/" xmlns:xsi="http://www.w3.org/2001/XMLSchema-instance" xsi:type="dcterms:W3CDTF">2026-10-13T16:45:49Z</dcterms:modified>
  <cp:lastModifiedBy>USUARIO</cp:lastModifiedBy>
</cp:coreProperties>
</file>